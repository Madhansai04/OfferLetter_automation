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Keerthivasan\Downloads\"/>
    </mc:Choice>
  </mc:AlternateContent>
  <xr:revisionPtr revIDLastSave="0" documentId="13_ncr:1_{091E95B8-BF66-4421-82CE-852ADEFD7E78}" xr6:coauthVersionLast="47" xr6:coauthVersionMax="47" xr10:uidLastSave="{00000000-0000-0000-0000-000000000000}"/>
  <bookViews>
    <workbookView xWindow="-108" yWindow="-108" windowWidth="23256" windowHeight="13896" xr2:uid="{CFDD7BCF-40F9-4972-B82A-332FB50C43C1}"/>
  </bookViews>
  <sheets>
    <sheet name="CTC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H17" i="1"/>
  <c r="I13" i="1"/>
  <c r="I18" i="1"/>
  <c r="I17" i="1"/>
  <c r="I16" i="1"/>
  <c r="H16" i="1"/>
  <c r="E16" i="1"/>
  <c r="E17" i="1" s="1"/>
  <c r="E15" i="1"/>
  <c r="E8" i="1"/>
  <c r="D11" i="1"/>
  <c r="D12" i="1" l="1"/>
  <c r="D13" i="1" s="1"/>
  <c r="H4" i="1"/>
  <c r="E3" i="1" s="1"/>
  <c r="E11" i="1" l="1"/>
  <c r="E10" i="1"/>
  <c r="E9" i="1" l="1"/>
  <c r="E12" i="1" l="1"/>
  <c r="E13" i="1" s="1"/>
  <c r="E19" i="1" s="1"/>
  <c r="D19" i="1"/>
  <c r="H15" i="1" l="1"/>
  <c r="H14" i="1"/>
  <c r="H18" i="1"/>
  <c r="I14" i="1" l="1"/>
  <c r="I15" i="1" s="1"/>
</calcChain>
</file>

<file path=xl/sharedStrings.xml><?xml version="1.0" encoding="utf-8"?>
<sst xmlns="http://schemas.openxmlformats.org/spreadsheetml/2006/main" count="27" uniqueCount="24">
  <si>
    <t>CTC Calculator</t>
  </si>
  <si>
    <t>Basic</t>
  </si>
  <si>
    <t>CTC</t>
  </si>
  <si>
    <t>Total Other Component</t>
  </si>
  <si>
    <t>Variable Pay</t>
  </si>
  <si>
    <t>Other Components (Annual)</t>
  </si>
  <si>
    <t>Conveyance Allowances</t>
  </si>
  <si>
    <t>Annual</t>
  </si>
  <si>
    <t>Monthly</t>
  </si>
  <si>
    <t>Salary Components</t>
  </si>
  <si>
    <t>CTC (Per Annum)</t>
  </si>
  <si>
    <t xml:space="preserve"> House Rent Allowances </t>
  </si>
  <si>
    <t>Retention pay</t>
  </si>
  <si>
    <t>Fixed Salary</t>
  </si>
  <si>
    <t xml:space="preserve">Gratuity </t>
  </si>
  <si>
    <t>PF - Employer</t>
  </si>
  <si>
    <t>Retention Pay</t>
  </si>
  <si>
    <t>Total Fixed</t>
  </si>
  <si>
    <t>Monthly Components</t>
  </si>
  <si>
    <t>HRA</t>
  </si>
  <si>
    <t>CA</t>
  </si>
  <si>
    <t>Gratuity</t>
  </si>
  <si>
    <t>PF</t>
  </si>
  <si>
    <t>( [gross] + [PF - Employer] ) * 0.50 * 15 / 26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</si>
</sst>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  <numFmt numFmtId="165" formatCode="_ &quot;₹&quot;\ * #,##0_ ;_ &quot;₹&quot;\ * \-#,##0_ ;_ &quot;₹&quot;\ * &quot;-&quot;??_ ;_ @_ 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000000"/>
      <name val="Times New Roman"/>
      <family val="1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u val="double"/>
      <sz val="16"/>
      <color rgb="FFFF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35">
    <xf numFmtId="0" fontId="0" fillId="0" borderId="0" xfId="0"/>
    <xf numFmtId="0" fontId="4" fillId="0" borderId="0" xfId="0" applyFont="1"/>
    <xf numFmtId="164" fontId="3" fillId="0" borderId="4" xfId="1" applyNumberFormat="1" applyFont="1" applyFill="1" applyBorder="1" applyAlignment="1">
      <alignment vertical="center"/>
    </xf>
    <xf numFmtId="44" fontId="3" fillId="0" borderId="4" xfId="1" applyNumberFormat="1" applyFont="1" applyFill="1" applyBorder="1" applyAlignment="1">
      <alignment vertical="center"/>
    </xf>
    <xf numFmtId="0" fontId="3" fillId="0" borderId="6" xfId="0" applyFont="1" applyBorder="1"/>
    <xf numFmtId="165" fontId="3" fillId="0" borderId="6" xfId="1" applyNumberFormat="1" applyFont="1" applyFill="1" applyBorder="1"/>
    <xf numFmtId="164" fontId="3" fillId="0" borderId="4" xfId="1" applyNumberFormat="1" applyFont="1" applyFill="1" applyBorder="1" applyAlignment="1">
      <alignment horizontal="center" vertical="center"/>
    </xf>
    <xf numFmtId="165" fontId="4" fillId="2" borderId="0" xfId="1" applyNumberFormat="1" applyFont="1" applyFill="1"/>
    <xf numFmtId="165" fontId="4" fillId="0" borderId="0" xfId="1" applyNumberFormat="1" applyFont="1" applyFill="1"/>
    <xf numFmtId="0" fontId="4" fillId="0" borderId="0" xfId="0" applyFont="1" applyAlignment="1">
      <alignment horizontal="right"/>
    </xf>
    <xf numFmtId="0" fontId="4" fillId="0" borderId="4" xfId="0" applyFont="1" applyBorder="1"/>
    <xf numFmtId="164" fontId="4" fillId="2" borderId="4" xfId="1" applyNumberFormat="1" applyFont="1" applyFill="1" applyBorder="1"/>
    <xf numFmtId="164" fontId="4" fillId="0" borderId="4" xfId="1" applyNumberFormat="1" applyFont="1" applyFill="1" applyBorder="1"/>
    <xf numFmtId="43" fontId="4" fillId="0" borderId="0" xfId="0" applyNumberFormat="1" applyFont="1"/>
    <xf numFmtId="164" fontId="4" fillId="0" borderId="0" xfId="1" applyNumberFormat="1" applyFont="1"/>
    <xf numFmtId="164" fontId="3" fillId="0" borderId="4" xfId="1" applyNumberFormat="1" applyFont="1" applyFill="1" applyBorder="1"/>
    <xf numFmtId="164" fontId="3" fillId="2" borderId="4" xfId="1" applyNumberFormat="1" applyFont="1" applyFill="1" applyBorder="1"/>
    <xf numFmtId="0" fontId="4" fillId="0" borderId="6" xfId="0" applyFont="1" applyBorder="1"/>
    <xf numFmtId="44" fontId="3" fillId="0" borderId="6" xfId="1" applyNumberFormat="1" applyFont="1" applyFill="1" applyBorder="1"/>
    <xf numFmtId="0" fontId="6" fillId="0" borderId="0" xfId="0" applyFont="1"/>
    <xf numFmtId="164" fontId="4" fillId="0" borderId="0" xfId="1" applyNumberFormat="1" applyFont="1" applyFill="1"/>
    <xf numFmtId="0" fontId="3" fillId="0" borderId="0" xfId="0" applyFont="1"/>
    <xf numFmtId="164" fontId="3" fillId="0" borderId="0" xfId="1" applyNumberFormat="1" applyFont="1" applyFill="1"/>
    <xf numFmtId="3" fontId="4" fillId="0" borderId="0" xfId="0" applyNumberFormat="1" applyFont="1"/>
    <xf numFmtId="0" fontId="3" fillId="0" borderId="4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</cellXfs>
  <cellStyles count="4">
    <cellStyle name="Comma" xfId="1" builtinId="3"/>
    <cellStyle name="Comma 2" xfId="3" xr:uid="{841CE0F6-D38E-4A2E-BDC0-4ADAB259A29D}"/>
    <cellStyle name="Normal" xfId="0" builtinId="0"/>
    <cellStyle name="Normal 2" xfId="2" xr:uid="{3B85E658-6051-4813-87B5-5B0A27FE4739}"/>
  </cellStyles>
  <dxfs count="0"/>
  <tableStyles count="0" defaultTableStyle="TableStyleMedium2" defaultPivotStyle="PivotStyleLight16"/>
  <colors>
    <mruColors>
      <color rgb="FFFFFFCC"/>
      <color rgb="FFCCCCFF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0</xdr:row>
          <xdr:rowOff>175260</xdr:rowOff>
        </xdr:from>
        <xdr:to>
          <xdr:col>7</xdr:col>
          <xdr:colOff>769620</xdr:colOff>
          <xdr:row>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dbl" strike="noStrike" baseline="0">
                  <a:solidFill>
                    <a:srgbClr val="FF0000"/>
                  </a:solidFill>
                  <a:latin typeface="Aptos Narrow"/>
                </a:rPr>
                <a:t>CTC 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89A24-7426-4973-A590-B121864F8058}">
  <sheetPr codeName="Sheet1"/>
  <dimension ref="A1:L28"/>
  <sheetViews>
    <sheetView showGridLines="0" tabSelected="1" zoomScaleNormal="100" workbookViewId="0">
      <selection activeCell="N11" sqref="N11"/>
    </sheetView>
  </sheetViews>
  <sheetFormatPr defaultColWidth="8.88671875" defaultRowHeight="15.6" x14ac:dyDescent="0.3"/>
  <cols>
    <col min="1" max="1" width="3.109375" style="1" customWidth="1"/>
    <col min="2" max="2" width="24" style="1" bestFit="1" customWidth="1"/>
    <col min="3" max="3" width="11.88671875" style="1" customWidth="1"/>
    <col min="4" max="4" width="14.44140625" style="20" bestFit="1" customWidth="1"/>
    <col min="5" max="5" width="15.5546875" style="20" bestFit="1" customWidth="1"/>
    <col min="6" max="6" width="16.109375" style="1" bestFit="1" customWidth="1"/>
    <col min="7" max="7" width="13.88671875" style="1" bestFit="1" customWidth="1"/>
    <col min="8" max="8" width="12.5546875" style="1" bestFit="1" customWidth="1"/>
    <col min="9" max="16384" width="8.88671875" style="1"/>
  </cols>
  <sheetData>
    <row r="1" spans="1:9" x14ac:dyDescent="0.3">
      <c r="A1" s="32" t="s">
        <v>0</v>
      </c>
      <c r="B1" s="32"/>
      <c r="C1" s="32"/>
      <c r="D1" s="32"/>
      <c r="E1" s="32"/>
    </row>
    <row r="2" spans="1:9" x14ac:dyDescent="0.3">
      <c r="A2" s="33"/>
      <c r="B2" s="33"/>
      <c r="C2" s="33"/>
      <c r="D2" s="33"/>
      <c r="E2" s="33"/>
    </row>
    <row r="3" spans="1:9" x14ac:dyDescent="0.3">
      <c r="A3" s="29" t="s">
        <v>10</v>
      </c>
      <c r="B3" s="30"/>
      <c r="C3" s="31"/>
      <c r="D3" s="2"/>
      <c r="E3" s="3">
        <f>H4</f>
        <v>500000</v>
      </c>
    </row>
    <row r="4" spans="1:9" ht="16.2" thickBot="1" x14ac:dyDescent="0.35">
      <c r="A4" s="26"/>
      <c r="B4" s="27"/>
      <c r="C4" s="27"/>
      <c r="D4" s="27"/>
      <c r="E4" s="28"/>
      <c r="G4" s="4" t="s">
        <v>2</v>
      </c>
      <c r="H4" s="5">
        <f>SUM(H5:H7)</f>
        <v>500000</v>
      </c>
    </row>
    <row r="5" spans="1:9" ht="16.2" thickTop="1" x14ac:dyDescent="0.3">
      <c r="A5" s="34" t="s">
        <v>9</v>
      </c>
      <c r="B5" s="34"/>
      <c r="C5" s="34"/>
      <c r="D5" s="6" t="s">
        <v>8</v>
      </c>
      <c r="E5" s="6" t="s">
        <v>7</v>
      </c>
      <c r="G5" s="1" t="s">
        <v>13</v>
      </c>
      <c r="H5" s="7">
        <v>450000</v>
      </c>
    </row>
    <row r="6" spans="1:9" x14ac:dyDescent="0.3">
      <c r="A6" s="26"/>
      <c r="B6" s="27"/>
      <c r="C6" s="27"/>
      <c r="D6" s="27"/>
      <c r="E6" s="28"/>
      <c r="G6" s="1" t="s">
        <v>4</v>
      </c>
      <c r="H6" s="8">
        <v>50000</v>
      </c>
    </row>
    <row r="7" spans="1:9" s="9" customFormat="1" x14ac:dyDescent="0.3">
      <c r="A7" s="34" t="s">
        <v>18</v>
      </c>
      <c r="B7" s="34"/>
      <c r="C7" s="34"/>
      <c r="D7" s="34"/>
      <c r="E7" s="34"/>
      <c r="G7" s="1" t="s">
        <v>12</v>
      </c>
      <c r="H7" s="8">
        <v>0</v>
      </c>
    </row>
    <row r="8" spans="1:9" x14ac:dyDescent="0.3">
      <c r="A8" s="10">
        <v>1</v>
      </c>
      <c r="B8" s="10" t="s">
        <v>1</v>
      </c>
      <c r="C8" s="10"/>
      <c r="D8" s="11">
        <v>17334.859154929574</v>
      </c>
      <c r="E8" s="12">
        <f>D8*12</f>
        <v>208018.30985915489</v>
      </c>
      <c r="F8" s="13"/>
    </row>
    <row r="9" spans="1:9" x14ac:dyDescent="0.3">
      <c r="A9" s="10">
        <v>2</v>
      </c>
      <c r="B9" s="10" t="s">
        <v>11</v>
      </c>
      <c r="C9" s="10"/>
      <c r="D9" s="12">
        <f>D8*50%</f>
        <v>8667.4295774647871</v>
      </c>
      <c r="E9" s="12">
        <f>D9*12</f>
        <v>104009.15492957745</v>
      </c>
    </row>
    <row r="10" spans="1:9" x14ac:dyDescent="0.3">
      <c r="A10" s="10">
        <v>3</v>
      </c>
      <c r="B10" s="10" t="s">
        <v>6</v>
      </c>
      <c r="C10" s="10"/>
      <c r="D10" s="12">
        <f>D8*50%</f>
        <v>8667.4295774647871</v>
      </c>
      <c r="E10" s="12">
        <f>D10*12</f>
        <v>104009.15492957745</v>
      </c>
    </row>
    <row r="11" spans="1:9" x14ac:dyDescent="0.3">
      <c r="A11" s="10">
        <v>4</v>
      </c>
      <c r="B11" s="10" t="s">
        <v>15</v>
      </c>
      <c r="C11" s="10"/>
      <c r="D11" s="14">
        <f>IF(($D$8*12%)&gt;=1800,1800,$D$8*12%)+IF($D$8&gt;=15000,150,($D$8*1%))</f>
        <v>1950</v>
      </c>
      <c r="E11" s="12">
        <f>D11*12</f>
        <v>23400</v>
      </c>
    </row>
    <row r="12" spans="1:9" x14ac:dyDescent="0.3">
      <c r="A12" s="10">
        <v>5</v>
      </c>
      <c r="B12" s="10" t="s">
        <v>14</v>
      </c>
      <c r="C12" s="10"/>
      <c r="D12" s="12">
        <f>(SUM(D8:D10)+D11)*0.5*15/26/12</f>
        <v>880.28169014084494</v>
      </c>
      <c r="E12" s="12">
        <f>D12*12</f>
        <v>10563.380281690139</v>
      </c>
      <c r="H12" s="1">
        <v>450000</v>
      </c>
    </row>
    <row r="13" spans="1:9" x14ac:dyDescent="0.3">
      <c r="A13" s="25" t="s">
        <v>17</v>
      </c>
      <c r="B13" s="25"/>
      <c r="C13" s="25"/>
      <c r="D13" s="15">
        <f>SUM(D8:D10)+SUM(D11:D12)</f>
        <v>37499.999999999993</v>
      </c>
      <c r="E13" s="16">
        <f>SUM(E8:E10)+SUM(E11:E12)</f>
        <v>449999.99999999994</v>
      </c>
      <c r="G13" s="1" t="s">
        <v>1</v>
      </c>
      <c r="I13" s="1">
        <f>(H12-H18)/2</f>
        <v>207891.34615384616</v>
      </c>
    </row>
    <row r="14" spans="1:9" x14ac:dyDescent="0.3">
      <c r="A14" s="34" t="s">
        <v>5</v>
      </c>
      <c r="B14" s="34"/>
      <c r="C14" s="34"/>
      <c r="D14" s="34"/>
      <c r="E14" s="34"/>
      <c r="G14" s="1" t="s">
        <v>19</v>
      </c>
      <c r="H14" s="1">
        <f>H13*50%</f>
        <v>0</v>
      </c>
      <c r="I14" s="1">
        <f>I13*50%</f>
        <v>103945.67307692308</v>
      </c>
    </row>
    <row r="15" spans="1:9" x14ac:dyDescent="0.3">
      <c r="A15" s="10">
        <v>1</v>
      </c>
      <c r="B15" s="10" t="s">
        <v>4</v>
      </c>
      <c r="C15" s="10"/>
      <c r="D15" s="12"/>
      <c r="E15" s="12">
        <f>H6</f>
        <v>50000</v>
      </c>
      <c r="G15" s="1" t="s">
        <v>20</v>
      </c>
      <c r="H15" s="1">
        <f>H13*50%</f>
        <v>0</v>
      </c>
      <c r="I15" s="1">
        <f>I14</f>
        <v>103945.67307692308</v>
      </c>
    </row>
    <row r="16" spans="1:9" x14ac:dyDescent="0.3">
      <c r="A16" s="10">
        <v>2</v>
      </c>
      <c r="B16" s="10" t="s">
        <v>16</v>
      </c>
      <c r="C16" s="10"/>
      <c r="D16" s="12"/>
      <c r="E16" s="12">
        <f>H7</f>
        <v>0</v>
      </c>
      <c r="G16" s="1" t="s">
        <v>22</v>
      </c>
      <c r="H16" s="1">
        <f>1950*12</f>
        <v>23400</v>
      </c>
      <c r="I16" s="1">
        <f>H16</f>
        <v>23400</v>
      </c>
    </row>
    <row r="17" spans="1:12" x14ac:dyDescent="0.3">
      <c r="A17" s="24" t="s">
        <v>3</v>
      </c>
      <c r="B17" s="24"/>
      <c r="C17" s="24"/>
      <c r="D17" s="12"/>
      <c r="E17" s="15">
        <f>SUM(E15:E16)</f>
        <v>50000</v>
      </c>
      <c r="G17" s="1" t="s">
        <v>21</v>
      </c>
      <c r="H17" s="23">
        <f>(H12)*0.5*15/26/12</f>
        <v>10817.307692307693</v>
      </c>
      <c r="I17" s="23">
        <f>H17</f>
        <v>10817.307692307693</v>
      </c>
      <c r="L17" s="1" t="s">
        <v>23</v>
      </c>
    </row>
    <row r="18" spans="1:12" x14ac:dyDescent="0.3">
      <c r="H18" s="1">
        <f>SUM(H13:H17)</f>
        <v>34217.307692307695</v>
      </c>
      <c r="I18" s="1">
        <f>SUM(I13:I17)</f>
        <v>450000</v>
      </c>
    </row>
    <row r="19" spans="1:12" ht="16.2" thickBot="1" x14ac:dyDescent="0.35">
      <c r="A19" s="17"/>
      <c r="B19" s="4" t="s">
        <v>2</v>
      </c>
      <c r="C19" s="4"/>
      <c r="D19" s="18">
        <f>D17+D13</f>
        <v>37499.999999999993</v>
      </c>
      <c r="E19" s="18">
        <f>E17+E13</f>
        <v>499999.99999999994</v>
      </c>
    </row>
    <row r="20" spans="1:12" ht="16.2" thickTop="1" x14ac:dyDescent="0.3">
      <c r="B20" s="19"/>
      <c r="C20" s="19"/>
    </row>
    <row r="28" spans="1:12" x14ac:dyDescent="0.3">
      <c r="B28" s="21"/>
      <c r="C28" s="21"/>
      <c r="D28" s="22"/>
      <c r="E28" s="22"/>
    </row>
  </sheetData>
  <mergeCells count="9">
    <mergeCell ref="A1:E2"/>
    <mergeCell ref="A7:E7"/>
    <mergeCell ref="A5:C5"/>
    <mergeCell ref="A14:E14"/>
    <mergeCell ref="A17:C17"/>
    <mergeCell ref="A13:C13"/>
    <mergeCell ref="A6:E6"/>
    <mergeCell ref="A4:E4"/>
    <mergeCell ref="A3:C3"/>
  </mergeCells>
  <dataValidations count="1">
    <dataValidation allowBlank="1" showInputMessage="1" showErrorMessage="1" promptTitle="CTC Amount" prompt="for CTC Calculation" sqref="D5 E3" xr:uid="{646906E5-B653-4D81-9BA1-FBD3E9111C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TC">
                <anchor moveWithCells="1" sizeWithCells="1">
                  <from>
                    <xdr:col>6</xdr:col>
                    <xdr:colOff>144780</xdr:colOff>
                    <xdr:row>0</xdr:row>
                    <xdr:rowOff>175260</xdr:rowOff>
                  </from>
                  <to>
                    <xdr:col>7</xdr:col>
                    <xdr:colOff>769620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CTC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Keerthivasan</dc:creator>
  <cp:lastModifiedBy>S Keerthivasan</cp:lastModifiedBy>
  <dcterms:created xsi:type="dcterms:W3CDTF">2025-04-17T12:36:25Z</dcterms:created>
  <dcterms:modified xsi:type="dcterms:W3CDTF">2026-09-02T12:48:43Z</dcterms:modified>
</cp:coreProperties>
</file>